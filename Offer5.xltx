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720" yWindow="360" windowWidth="15480" windowHeight="11640" activeTab="2"/>
  </bookViews>
  <sheets>
    <sheet name="Offer" sheetId="1" r:id="rId1"/>
    <sheet name="Data" sheetId="2" r:id="rId2"/>
    <sheet name="Templates" sheetId="3" r:id="rId3"/>
  </sheets>
  <definedNames>
    <definedName name="Address1">Data!#REF!</definedName>
    <definedName name="Address2">Data!#REF!</definedName>
    <definedName name="BEGINROW">Offer!$A$29</definedName>
    <definedName name="CELL_FAX">Offer!#REF!</definedName>
    <definedName name="CELL_FIRMANAAM">Offer!#REF!</definedName>
    <definedName name="CELL_PLAATS">Offer!#REF!</definedName>
    <definedName name="CELL_POSTCODE">Offer!#REF!</definedName>
    <definedName name="CELL_PROJECTPROFILE">Offer!#REF!</definedName>
    <definedName name="CELL_PROJECTVULLING">Offer!#REF!</definedName>
    <definedName name="CELL_STRAAT">Offer!#REF!</definedName>
    <definedName name="CELL_TELEFOON">Offer!#REF!</definedName>
    <definedName name="CELL_WERFADRES1">Offer!#REF!</definedName>
    <definedName name="CELL_WERFADRES2">Offer!#REF!</definedName>
    <definedName name="CELL_WERFADRES3">Offer!#REF!</definedName>
    <definedName name="City">Data!$B$5</definedName>
    <definedName name="COLOR_TABLEHEAD">Templates!$E$2</definedName>
    <definedName name="ColumnNames">Data!$A$2:$A$21</definedName>
    <definedName name="CompanyName">Data!$B$2</definedName>
    <definedName name="CURRENCYROW">Offer!$G$29:$G$65536</definedName>
    <definedName name="CustAddress1">Data!#REF!</definedName>
    <definedName name="CustCity">Data!$B$14</definedName>
    <definedName name="CustFax">Data!$B$16</definedName>
    <definedName name="CustName">Data!$B$11</definedName>
    <definedName name="CustStreet">Data!$B$12</definedName>
    <definedName name="CustTel">Data!$B$15</definedName>
    <definedName name="CustZip">Data!$B$13</definedName>
    <definedName name="DefaultFilling">Data!$B$21</definedName>
    <definedName name="DefaultGlass">Data!#REF!</definedName>
    <definedName name="Email">Data!$B$10</definedName>
    <definedName name="END_LINE_TOP">Templates!#REF!</definedName>
    <definedName name="Fax">Data!$B$7</definedName>
    <definedName name="ProjectHeader">Templates!#REF!</definedName>
    <definedName name="ProjectProfileColor">Data!$B$20</definedName>
    <definedName name="RegNumber">Data!$B$9</definedName>
    <definedName name="ReportName">Data!$B$22</definedName>
    <definedName name="Street">Data!$B$3</definedName>
    <definedName name="Tel">Data!$B$6</definedName>
    <definedName name="TelAndFax">Data!$B$7</definedName>
    <definedName name="TEMPLATEFORMULA">Templates!$D$5</definedName>
    <definedName name="TR_ADDCOST">Templates!$B$8</definedName>
    <definedName name="TR_ADDKOST">Templates!#REF!</definedName>
    <definedName name="TR_AGREEMENT">Templates!$B$15</definedName>
    <definedName name="TR_BUILDER">Templates!$B$16</definedName>
    <definedName name="TR_DATE">Templates!$B$17</definedName>
    <definedName name="TR_DISCOUNT">Templates!$B$6</definedName>
    <definedName name="TR_ENDCLAUSE_1">Templates!$B$12</definedName>
    <definedName name="TR_ENDCLAUSE_2">Templates!$B$14</definedName>
    <definedName name="TR_EXTRA">Templates!$B$4</definedName>
    <definedName name="TR_ON">Templates!$B$7</definedName>
    <definedName name="TR_OPTIONS_EXCL">Templates!$B$10</definedName>
    <definedName name="TR_PAYM_COND">Templates!$B$13</definedName>
    <definedName name="TR_PRICE">Templates!$B$5</definedName>
    <definedName name="TR_PRICE_ASSEMBLY">Templates!$B$11</definedName>
    <definedName name="TR_PRICE_EXCL">Templates!$B$9</definedName>
    <definedName name="TR_PRICE_INC">Templates!$B$19</definedName>
    <definedName name="TR_PRICE_TOTAL_EXCL">Templates!$B$20</definedName>
    <definedName name="TR_PRICE_TOTAL_TRANSPORT">Templates!$B$24</definedName>
    <definedName name="TR_PRICE_TRANSPORT">Templates!$B$22</definedName>
    <definedName name="TR_Total_Part">Templates!$B$3</definedName>
    <definedName name="TR_VAT">Templates!$B$18</definedName>
    <definedName name="TR_VAT_IN">Templates!$B$21</definedName>
    <definedName name="TR_VAT_TRANSPORT">Templates!$B$23</definedName>
    <definedName name="VATNumber">Data!$B$8</definedName>
    <definedName name="Wharf1">Data!$B$17</definedName>
    <definedName name="Wharf2">Data!$B$18</definedName>
    <definedName name="Wharf3">Data!$B$19</definedName>
    <definedName name="Zip">Data!$B$4</definedName>
  </definedNames>
  <calcPr calcId="144525" refMode="R1C1"/>
</workbook>
</file>

<file path=xl/calcChain.xml><?xml version="1.0" encoding="utf-8"?>
<calcChain xmlns="http://schemas.openxmlformats.org/spreadsheetml/2006/main">
  <c r="D5" i="3" l="1"/>
  <c r="A26" i="1"/>
  <c r="A24" i="1"/>
  <c r="D7" i="1"/>
  <c r="D6" i="1"/>
  <c r="D5" i="1"/>
  <c r="D4" i="1"/>
  <c r="D3" i="1"/>
  <c r="D2" i="1"/>
  <c r="D1" i="1"/>
  <c r="B17" i="1"/>
  <c r="B16" i="1"/>
  <c r="B15" i="1"/>
  <c r="B13" i="1"/>
  <c r="B12" i="1"/>
  <c r="B11" i="1"/>
  <c r="A8" i="1"/>
  <c r="G9" i="1"/>
</calcChain>
</file>

<file path=xl/comments1.xml><?xml version="1.0" encoding="utf-8"?>
<comments xmlns="http://schemas.openxmlformats.org/spreadsheetml/2006/main">
  <authors>
    <author xml:space="preserve"> </author>
  </authors>
  <commentList>
    <comment ref="B22" authorId="0">
      <text>
        <r>
          <rPr>
            <b/>
            <sz val="8"/>
            <color indexed="81"/>
            <rFont val="Tahoma"/>
          </rPr>
          <t xml:space="preserve"> : Dit veld wordt niet ingevuld door het script en moet dus manueel aangepast/vertaald worden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B2" authorId="0">
      <text>
        <r>
          <rPr>
            <b/>
            <sz val="8"/>
            <color indexed="81"/>
            <rFont val="Tahoma"/>
          </rPr>
          <t xml:space="preserve"> : </t>
        </r>
        <r>
          <rPr>
            <sz val="8"/>
            <color indexed="81"/>
            <rFont val="Tahoma"/>
          </rPr>
          <t>Deze kollom kan vertaald worden</t>
        </r>
      </text>
    </comment>
    <comment ref="E2" authorId="0">
      <text>
        <r>
          <rPr>
            <b/>
            <sz val="8"/>
            <color indexed="81"/>
            <rFont val="Tahoma"/>
          </rPr>
          <t xml:space="preserve"> : Wijziging van de kleur heeft effect op het rapport</t>
        </r>
      </text>
    </comment>
  </commentList>
</comments>
</file>

<file path=xl/sharedStrings.xml><?xml version="1.0" encoding="utf-8"?>
<sst xmlns="http://schemas.openxmlformats.org/spreadsheetml/2006/main" count="91" uniqueCount="69">
  <si>
    <t>Email</t>
  </si>
  <si>
    <t>CompanyName</t>
  </si>
  <si>
    <t>VATNumber</t>
  </si>
  <si>
    <t>RegNumber</t>
  </si>
  <si>
    <t>Column</t>
  </si>
  <si>
    <t>Value</t>
  </si>
  <si>
    <t>Tel</t>
  </si>
  <si>
    <t>Fax</t>
  </si>
  <si>
    <t>CustName</t>
  </si>
  <si>
    <t>Street</t>
  </si>
  <si>
    <t>Zip</t>
  </si>
  <si>
    <t>City</t>
  </si>
  <si>
    <t>CustStreet</t>
  </si>
  <si>
    <t>CustZip</t>
  </si>
  <si>
    <t>CustCity</t>
  </si>
  <si>
    <t>CustTel</t>
  </si>
  <si>
    <t>Wharf1</t>
  </si>
  <si>
    <t>Wharf2</t>
  </si>
  <si>
    <t>Wharf3</t>
  </si>
  <si>
    <t>ProjectProfileColor</t>
  </si>
  <si>
    <t>DefaultFilling</t>
  </si>
  <si>
    <t>Vertalingen</t>
  </si>
  <si>
    <t>Opmaak</t>
  </si>
  <si>
    <t>Groepering per deel</t>
  </si>
  <si>
    <t>Hoofding Extra's</t>
  </si>
  <si>
    <t>Groepen samen</t>
  </si>
  <si>
    <t>Kortingen</t>
  </si>
  <si>
    <t>Kortingen toepassen op</t>
  </si>
  <si>
    <t>Korting is negatief</t>
  </si>
  <si>
    <t>Prijs netto aangeven</t>
  </si>
  <si>
    <t>Hoofding deel opties</t>
  </si>
  <si>
    <t>Groepering per groep</t>
  </si>
  <si>
    <t>Einde (Voorwaarde 1)</t>
  </si>
  <si>
    <t>Einde (Voorwaarde 2)</t>
  </si>
  <si>
    <t>Hoofding Voorwaarden</t>
  </si>
  <si>
    <t>Handtekening 1</t>
  </si>
  <si>
    <t>Handtekening 2</t>
  </si>
  <si>
    <t>Handtekening 3</t>
  </si>
  <si>
    <t>BTW hoofding</t>
  </si>
  <si>
    <t>Hoofding vervoer</t>
  </si>
  <si>
    <t>Rapportnaam (hoofding)</t>
  </si>
  <si>
    <t>Kleur van de totalen en berekende velden:</t>
  </si>
  <si>
    <t>To:</t>
  </si>
  <si>
    <t>Address:</t>
  </si>
  <si>
    <t>Further to your request, we are very pleased to offer you as follows:</t>
  </si>
  <si>
    <t>The work contains:</t>
  </si>
  <si>
    <t>Offer</t>
  </si>
  <si>
    <t>on</t>
  </si>
  <si>
    <t>Options (VAT excluded) :</t>
  </si>
  <si>
    <t>Agreed to carry out the work,</t>
  </si>
  <si>
    <t>Formules</t>
  </si>
  <si>
    <t>全部</t>
    <phoneticPr fontId="1" type="noConversion"/>
  </si>
  <si>
    <r>
      <rPr>
        <b/>
        <sz val="10"/>
        <rFont val="宋体"/>
        <family val="3"/>
        <charset val="134"/>
      </rPr>
      <t>附件费</t>
    </r>
    <r>
      <rPr>
        <b/>
        <sz val="10"/>
        <rFont val="Arial"/>
        <family val="2"/>
      </rPr>
      <t xml:space="preserve"> (</t>
    </r>
    <r>
      <rPr>
        <b/>
        <sz val="10"/>
        <rFont val="宋体"/>
        <family val="3"/>
        <charset val="134"/>
      </rPr>
      <t>不包括税</t>
    </r>
    <r>
      <rPr>
        <b/>
        <sz val="10"/>
        <rFont val="Arial"/>
        <family val="2"/>
      </rPr>
      <t>) :</t>
    </r>
    <phoneticPr fontId="1" type="noConversion"/>
  </si>
  <si>
    <r>
      <rPr>
        <b/>
        <sz val="10"/>
        <rFont val="宋体"/>
        <family val="3"/>
        <charset val="134"/>
      </rPr>
      <t>价格</t>
    </r>
    <r>
      <rPr>
        <b/>
        <sz val="10"/>
        <rFont val="Arial"/>
        <family val="2"/>
      </rPr>
      <t>:</t>
    </r>
    <phoneticPr fontId="1" type="noConversion"/>
  </si>
  <si>
    <t>折扣</t>
    <phoneticPr fontId="1" type="noConversion"/>
  </si>
  <si>
    <t>补充</t>
    <phoneticPr fontId="1" type="noConversion"/>
  </si>
  <si>
    <r>
      <rPr>
        <b/>
        <sz val="10"/>
        <rFont val="宋体"/>
        <family val="3"/>
        <charset val="134"/>
      </rPr>
      <t>净价</t>
    </r>
    <r>
      <rPr>
        <b/>
        <sz val="10"/>
        <rFont val="Arial"/>
        <family val="2"/>
      </rPr>
      <t>:</t>
    </r>
    <phoneticPr fontId="1" type="noConversion"/>
  </si>
  <si>
    <r>
      <rPr>
        <b/>
        <sz val="10"/>
        <rFont val="宋体"/>
        <family val="3"/>
        <charset val="134"/>
      </rPr>
      <t>单价</t>
    </r>
    <r>
      <rPr>
        <b/>
        <sz val="10"/>
        <rFont val="Arial"/>
        <family val="2"/>
      </rPr>
      <t>:</t>
    </r>
    <phoneticPr fontId="1" type="noConversion"/>
  </si>
  <si>
    <r>
      <rPr>
        <b/>
        <sz val="10"/>
        <rFont val="宋体"/>
        <family val="3"/>
        <charset val="134"/>
      </rPr>
      <t>本报价有效期</t>
    </r>
    <r>
      <rPr>
        <b/>
        <sz val="10"/>
        <rFont val="Arial"/>
        <family val="2"/>
      </rPr>
      <t xml:space="preserve">: 2 </t>
    </r>
    <r>
      <rPr>
        <b/>
        <sz val="10"/>
        <rFont val="宋体"/>
        <family val="3"/>
        <charset val="134"/>
      </rPr>
      <t>个月</t>
    </r>
    <r>
      <rPr>
        <b/>
        <sz val="10"/>
        <rFont val="Arial"/>
        <family val="2"/>
      </rPr>
      <t xml:space="preserve">. </t>
    </r>
    <r>
      <rPr>
        <b/>
        <sz val="10"/>
        <rFont val="宋体"/>
        <family val="3"/>
        <charset val="134"/>
      </rPr>
      <t>交付时间</t>
    </r>
    <r>
      <rPr>
        <b/>
        <sz val="10"/>
        <rFont val="Arial"/>
        <family val="2"/>
      </rPr>
      <t xml:space="preserve">: </t>
    </r>
    <r>
      <rPr>
        <b/>
        <sz val="10"/>
        <rFont val="宋体"/>
        <family val="3"/>
        <charset val="134"/>
      </rPr>
      <t>尺寸最终确定后</t>
    </r>
    <r>
      <rPr>
        <b/>
        <sz val="10"/>
        <rFont val="Arial"/>
        <family val="2"/>
      </rPr>
      <t>6</t>
    </r>
    <r>
      <rPr>
        <b/>
        <sz val="10"/>
        <rFont val="宋体"/>
        <family val="3"/>
        <charset val="134"/>
      </rPr>
      <t>周</t>
    </r>
    <r>
      <rPr>
        <b/>
        <sz val="10"/>
        <rFont val="Arial"/>
        <family val="2"/>
      </rPr>
      <t xml:space="preserve">. </t>
    </r>
    <r>
      <rPr>
        <b/>
        <sz val="10"/>
        <rFont val="宋体"/>
        <family val="3"/>
        <charset val="134"/>
      </rPr>
      <t>交付后一周内安装</t>
    </r>
    <r>
      <rPr>
        <b/>
        <sz val="10"/>
        <rFont val="Arial"/>
        <family val="2"/>
      </rPr>
      <t>.</t>
    </r>
    <phoneticPr fontId="1" type="noConversion"/>
  </si>
  <si>
    <r>
      <rPr>
        <b/>
        <sz val="10"/>
        <rFont val="宋体"/>
        <family val="3"/>
        <charset val="134"/>
      </rPr>
      <t>付款条件</t>
    </r>
    <r>
      <rPr>
        <b/>
        <sz val="10"/>
        <rFont val="Arial"/>
        <family val="2"/>
      </rPr>
      <t>:</t>
    </r>
    <phoneticPr fontId="1" type="noConversion"/>
  </si>
  <si>
    <t>如果有任何问题，不要犹豫，请联系我们。希望不久能得到您的回复</t>
    <phoneticPr fontId="1" type="noConversion"/>
  </si>
  <si>
    <r>
      <rPr>
        <b/>
        <sz val="10"/>
        <rFont val="宋体"/>
        <family val="3"/>
        <charset val="134"/>
      </rPr>
      <t>名字</t>
    </r>
    <r>
      <rPr>
        <b/>
        <sz val="10"/>
        <rFont val="Arial"/>
        <family val="2"/>
      </rPr>
      <t>:</t>
    </r>
    <phoneticPr fontId="1" type="noConversion"/>
  </si>
  <si>
    <r>
      <rPr>
        <b/>
        <sz val="10"/>
        <rFont val="宋体"/>
        <family val="3"/>
        <charset val="134"/>
      </rPr>
      <t>日期</t>
    </r>
    <r>
      <rPr>
        <b/>
        <sz val="10"/>
        <rFont val="Arial"/>
        <family val="2"/>
      </rPr>
      <t>:</t>
    </r>
    <phoneticPr fontId="1" type="noConversion"/>
  </si>
  <si>
    <r>
      <rPr>
        <b/>
        <sz val="10"/>
        <rFont val="宋体"/>
        <family val="3"/>
        <charset val="134"/>
      </rPr>
      <t>税</t>
    </r>
    <r>
      <rPr>
        <b/>
        <sz val="10"/>
        <rFont val="Arial"/>
        <family val="2"/>
      </rPr>
      <t>:</t>
    </r>
    <phoneticPr fontId="1" type="noConversion"/>
  </si>
  <si>
    <r>
      <rPr>
        <b/>
        <sz val="10"/>
        <rFont val="宋体"/>
        <family val="3"/>
        <charset val="134"/>
      </rPr>
      <t>含税总价</t>
    </r>
    <r>
      <rPr>
        <b/>
        <sz val="10"/>
        <rFont val="Arial"/>
        <family val="2"/>
      </rPr>
      <t>:</t>
    </r>
    <phoneticPr fontId="1" type="noConversion"/>
  </si>
  <si>
    <r>
      <rPr>
        <b/>
        <sz val="10"/>
        <rFont val="宋体"/>
        <family val="3"/>
        <charset val="134"/>
      </rPr>
      <t>总价</t>
    </r>
    <r>
      <rPr>
        <b/>
        <sz val="10"/>
        <rFont val="Arial"/>
        <family val="2"/>
      </rPr>
      <t xml:space="preserve"> (</t>
    </r>
    <r>
      <rPr>
        <b/>
        <sz val="10"/>
        <rFont val="宋体"/>
        <family val="3"/>
        <charset val="134"/>
      </rPr>
      <t>不含税</t>
    </r>
    <r>
      <rPr>
        <b/>
        <sz val="10"/>
        <rFont val="Arial"/>
        <family val="2"/>
      </rPr>
      <t>)</t>
    </r>
    <phoneticPr fontId="1" type="noConversion"/>
  </si>
  <si>
    <r>
      <rPr>
        <b/>
        <sz val="10"/>
        <rFont val="宋体"/>
        <family val="3"/>
        <charset val="134"/>
      </rPr>
      <t>运费</t>
    </r>
    <r>
      <rPr>
        <b/>
        <sz val="10"/>
        <rFont val="Arial"/>
        <family val="2"/>
      </rPr>
      <t>:</t>
    </r>
    <phoneticPr fontId="1" type="noConversion"/>
  </si>
  <si>
    <r>
      <rPr>
        <b/>
        <sz val="10"/>
        <rFont val="宋体"/>
        <family val="3"/>
        <charset val="134"/>
      </rPr>
      <t>税（运费）</t>
    </r>
    <r>
      <rPr>
        <b/>
        <sz val="10"/>
        <rFont val="Arial"/>
        <family val="2"/>
      </rPr>
      <t>:</t>
    </r>
    <phoneticPr fontId="1" type="noConversion"/>
  </si>
  <si>
    <r>
      <rPr>
        <b/>
        <sz val="10"/>
        <rFont val="宋体"/>
        <family val="3"/>
        <charset val="134"/>
      </rPr>
      <t>含运费总价</t>
    </r>
    <r>
      <rPr>
        <b/>
        <sz val="10"/>
        <rFont val="Arial"/>
        <family val="2"/>
      </rPr>
      <t xml:space="preserve"> :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</si>
</sst>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6" formatCode="#,##0.00\ _€"/>
  </numFmts>
  <fonts count="9" x14ac:knownFonts="1">
    <font>
      <sz val="10"/>
      <name val="Arial"/>
    </font>
    <font>
      <sz val="8"/>
      <name val="Arial"/>
    </font>
    <font>
      <b/>
      <sz val="10"/>
      <name val="Arial"/>
      <family val="2"/>
    </font>
    <font>
      <sz val="8"/>
      <color indexed="8"/>
      <name val="Arial"/>
    </font>
    <font>
      <b/>
      <sz val="20"/>
      <name val="Arial"/>
    </font>
    <font>
      <i/>
      <sz val="10"/>
      <name val="Arial"/>
    </font>
    <font>
      <sz val="8"/>
      <color indexed="81"/>
      <name val="Tahoma"/>
    </font>
    <font>
      <b/>
      <sz val="8"/>
      <color indexed="81"/>
      <name val="Tahoma"/>
    </font>
    <font>
      <b/>
      <sz val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left"/>
    </xf>
    <xf numFmtId="0" fontId="1" fillId="0" borderId="1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5" xfId="0" applyFont="1" applyBorder="1" applyAlignment="1">
      <alignment vertical="top"/>
    </xf>
    <xf numFmtId="0" fontId="1" fillId="0" borderId="6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8" xfId="0" applyFont="1" applyBorder="1" applyAlignment="1">
      <alignment vertical="top"/>
    </xf>
    <xf numFmtId="14" fontId="1" fillId="0" borderId="8" xfId="0" applyNumberFormat="1" applyFont="1" applyBorder="1" applyAlignment="1">
      <alignment vertical="top"/>
    </xf>
    <xf numFmtId="0" fontId="1" fillId="0" borderId="0" xfId="0" applyFont="1" applyAlignment="1">
      <alignment horizontal="right" vertical="top"/>
    </xf>
    <xf numFmtId="0" fontId="1" fillId="0" borderId="0" xfId="0" applyNumberFormat="1" applyFont="1" applyAlignment="1">
      <alignment vertical="top"/>
    </xf>
    <xf numFmtId="186" fontId="1" fillId="0" borderId="7" xfId="0" applyNumberFormat="1" applyFont="1" applyBorder="1" applyAlignment="1">
      <alignment vertical="top"/>
    </xf>
    <xf numFmtId="186" fontId="1" fillId="0" borderId="0" xfId="0" applyNumberFormat="1" applyFont="1" applyAlignment="1">
      <alignment vertical="top"/>
    </xf>
    <xf numFmtId="0" fontId="5" fillId="0" borderId="9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7" xfId="0" applyFill="1" applyBorder="1" applyAlignment="1"/>
    <xf numFmtId="0" fontId="2" fillId="0" borderId="0" xfId="0" applyFont="1" applyFill="1" applyBorder="1" applyAlignment="1"/>
    <xf numFmtId="0" fontId="2" fillId="0" borderId="7" xfId="0" applyFont="1" applyFill="1" applyBorder="1" applyAlignment="1"/>
    <xf numFmtId="0" fontId="0" fillId="0" borderId="10" xfId="0" applyBorder="1"/>
    <xf numFmtId="0" fontId="0" fillId="0" borderId="10" xfId="0" applyFill="1" applyBorder="1" applyAlignment="1">
      <alignment wrapText="1"/>
    </xf>
    <xf numFmtId="0" fontId="2" fillId="0" borderId="10" xfId="0" applyFont="1" applyFill="1" applyBorder="1" applyAlignment="1">
      <alignment wrapText="1"/>
    </xf>
    <xf numFmtId="0" fontId="0" fillId="2" borderId="10" xfId="0" applyFill="1" applyBorder="1"/>
    <xf numFmtId="0" fontId="1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0" borderId="5" xfId="0" applyFont="1" applyBorder="1" applyAlignment="1">
      <alignment horizontal="center" vertical="top"/>
    </xf>
    <xf numFmtId="0" fontId="1" fillId="0" borderId="6" xfId="0" applyFont="1" applyBorder="1" applyAlignment="1">
      <alignment horizontal="center" vertical="top"/>
    </xf>
    <xf numFmtId="0" fontId="1" fillId="0" borderId="7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2" xfId="0" applyFont="1" applyBorder="1" applyAlignment="1">
      <alignment vertical="top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0" fontId="1" fillId="0" borderId="7" xfId="0" applyFont="1" applyBorder="1" applyAlignment="1">
      <alignment vertical="top"/>
    </xf>
    <xf numFmtId="0" fontId="3" fillId="3" borderId="0" xfId="0" applyFont="1" applyFill="1" applyAlignment="1">
      <alignment vertical="top" wrapText="1"/>
    </xf>
    <xf numFmtId="0" fontId="5" fillId="0" borderId="10" xfId="0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8" fillId="0" borderId="10" xfId="0" applyFont="1" applyFill="1" applyBorder="1" applyAlignment="1">
      <alignment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8"/>
  <sheetViews>
    <sheetView topLeftCell="A4" zoomScaleNormal="100" workbookViewId="0">
      <selection activeCell="A29" sqref="A29"/>
    </sheetView>
  </sheetViews>
  <sheetFormatPr defaultRowHeight="11.25" x14ac:dyDescent="0.2"/>
  <cols>
    <col min="1" max="1" width="18.7109375" style="17" customWidth="1"/>
    <col min="2" max="2" width="7" style="17" customWidth="1"/>
    <col min="3" max="3" width="15.42578125" style="17" customWidth="1"/>
    <col min="4" max="4" width="29.28515625" style="17" customWidth="1"/>
    <col min="5" max="5" width="6.42578125" style="17" customWidth="1"/>
    <col min="6" max="6" width="6.85546875" style="17" customWidth="1"/>
    <col min="7" max="7" width="12.5703125" style="17" customWidth="1"/>
    <col min="8" max="16384" width="9.140625" style="8"/>
  </cols>
  <sheetData>
    <row r="1" spans="1:16" x14ac:dyDescent="0.2">
      <c r="A1" s="5"/>
      <c r="B1" s="6"/>
      <c r="C1" s="7"/>
      <c r="D1" s="38" t="str">
        <f>CompanyName</f>
        <v>CompanyName</v>
      </c>
      <c r="E1" s="39"/>
      <c r="F1" s="39"/>
      <c r="G1" s="40"/>
    </row>
    <row r="2" spans="1:16" x14ac:dyDescent="0.2">
      <c r="A2" s="9"/>
      <c r="B2" s="10"/>
      <c r="C2" s="11"/>
      <c r="D2" s="29" t="str">
        <f>Street</f>
        <v>Street</v>
      </c>
      <c r="E2" s="30"/>
      <c r="F2" s="30"/>
      <c r="G2" s="31"/>
    </row>
    <row r="3" spans="1:16" x14ac:dyDescent="0.2">
      <c r="A3" s="9"/>
      <c r="B3" s="10"/>
      <c r="C3" s="11"/>
      <c r="D3" s="29" t="str">
        <f>Zip &amp;" "&amp; City</f>
        <v>Zip City</v>
      </c>
      <c r="E3" s="30"/>
      <c r="F3" s="30"/>
      <c r="G3" s="31"/>
    </row>
    <row r="4" spans="1:16" x14ac:dyDescent="0.2">
      <c r="A4" s="9"/>
      <c r="B4" s="10"/>
      <c r="C4" s="11"/>
      <c r="D4" s="29" t="str">
        <f>"Tel : "&amp;Tel&amp;"  Fax : "&amp;Fax</f>
        <v>Tel : Tel  Fax : Fax</v>
      </c>
      <c r="E4" s="30"/>
      <c r="F4" s="30"/>
      <c r="G4" s="31"/>
    </row>
    <row r="5" spans="1:16" x14ac:dyDescent="0.2">
      <c r="A5" s="9"/>
      <c r="B5" s="10"/>
      <c r="C5" s="11"/>
      <c r="D5" s="29" t="str">
        <f>VATNumber</f>
        <v>VATNumber</v>
      </c>
      <c r="E5" s="30"/>
      <c r="F5" s="30"/>
      <c r="G5" s="31"/>
    </row>
    <row r="6" spans="1:16" x14ac:dyDescent="0.2">
      <c r="A6" s="9"/>
      <c r="B6" s="10"/>
      <c r="C6" s="11"/>
      <c r="D6" s="29" t="str">
        <f>RegNumber</f>
        <v>RegNumber</v>
      </c>
      <c r="E6" s="30"/>
      <c r="F6" s="30"/>
      <c r="G6" s="31"/>
    </row>
    <row r="7" spans="1:16" ht="12" thickBot="1" x14ac:dyDescent="0.25">
      <c r="A7" s="12"/>
      <c r="B7" s="13"/>
      <c r="C7" s="14"/>
      <c r="D7" s="32" t="str">
        <f>Email</f>
        <v>Email</v>
      </c>
      <c r="E7" s="33"/>
      <c r="F7" s="33"/>
      <c r="G7" s="34"/>
    </row>
    <row r="8" spans="1:16" ht="26.25" x14ac:dyDescent="0.2">
      <c r="A8" s="35" t="str">
        <f>ReportName</f>
        <v>Offer</v>
      </c>
      <c r="B8" s="36"/>
      <c r="C8" s="36"/>
      <c r="D8" s="36"/>
      <c r="E8" s="36"/>
      <c r="F8" s="36"/>
      <c r="G8" s="37"/>
    </row>
    <row r="9" spans="1:16" ht="12" thickBot="1" x14ac:dyDescent="0.25">
      <c r="A9" s="12"/>
      <c r="B9" s="13"/>
      <c r="C9" s="13"/>
      <c r="D9" s="18"/>
      <c r="E9" s="13"/>
      <c r="F9" s="13"/>
      <c r="G9" s="15">
        <f ca="1">TODAY()</f>
        <v>41924</v>
      </c>
    </row>
    <row r="10" spans="1:16" x14ac:dyDescent="0.2">
      <c r="A10" s="41"/>
      <c r="B10" s="41"/>
      <c r="C10" s="41"/>
      <c r="D10" s="41"/>
      <c r="E10" s="41"/>
      <c r="F10" s="41"/>
      <c r="G10" s="41"/>
    </row>
    <row r="11" spans="1:16" x14ac:dyDescent="0.2">
      <c r="A11" s="16" t="s">
        <v>42</v>
      </c>
      <c r="B11" s="42" t="str">
        <f>CustName</f>
        <v>CustName</v>
      </c>
      <c r="C11" s="42"/>
      <c r="D11" s="42"/>
      <c r="E11" s="42"/>
      <c r="F11" s="42"/>
      <c r="G11" s="42"/>
      <c r="K11" s="10"/>
      <c r="L11" s="10"/>
      <c r="M11" s="10"/>
      <c r="N11" s="10"/>
      <c r="O11" s="10"/>
      <c r="P11" s="10"/>
    </row>
    <row r="12" spans="1:16" x14ac:dyDescent="0.2">
      <c r="A12" s="8"/>
      <c r="B12" s="43" t="str">
        <f>CustStreet&amp;" - "&amp;CustZip&amp;" "&amp;CustCity</f>
        <v>CustStreet - CustZip CustCity</v>
      </c>
      <c r="C12" s="43"/>
      <c r="D12" s="43"/>
      <c r="E12" s="43"/>
      <c r="F12" s="43"/>
      <c r="G12" s="43"/>
      <c r="K12" s="10"/>
      <c r="L12" s="10"/>
      <c r="M12" s="10"/>
      <c r="N12" s="10"/>
      <c r="O12" s="10"/>
      <c r="P12" s="10"/>
    </row>
    <row r="13" spans="1:16" x14ac:dyDescent="0.2">
      <c r="A13" s="8"/>
      <c r="B13" s="43" t="str">
        <f>"Tel : "&amp;CustTel&amp;"  Fax : "&amp;CustFax</f>
        <v>Tel : CustTel  Fax : Fax</v>
      </c>
      <c r="C13" s="43"/>
      <c r="D13" s="43"/>
      <c r="E13" s="43"/>
      <c r="F13" s="43"/>
      <c r="G13" s="43"/>
      <c r="K13" s="10"/>
      <c r="L13" s="10"/>
      <c r="M13" s="10"/>
      <c r="N13" s="10"/>
      <c r="O13" s="10"/>
      <c r="P13" s="10"/>
    </row>
    <row r="14" spans="1:16" x14ac:dyDescent="0.2">
      <c r="A14" s="8"/>
      <c r="B14" s="43"/>
      <c r="C14" s="43"/>
      <c r="D14" s="43"/>
      <c r="E14" s="43"/>
      <c r="F14" s="43"/>
      <c r="G14" s="43"/>
      <c r="K14" s="10"/>
      <c r="L14" s="10"/>
      <c r="M14" s="10"/>
      <c r="N14" s="10"/>
      <c r="O14" s="10"/>
      <c r="P14" s="10"/>
    </row>
    <row r="15" spans="1:16" x14ac:dyDescent="0.2">
      <c r="A15" s="16" t="s">
        <v>43</v>
      </c>
      <c r="B15" s="43" t="str">
        <f>Wharf1</f>
        <v>Wharf1</v>
      </c>
      <c r="C15" s="43"/>
      <c r="D15" s="43"/>
      <c r="E15" s="43"/>
      <c r="F15" s="43"/>
      <c r="G15" s="43"/>
      <c r="K15" s="10"/>
      <c r="L15" s="10"/>
      <c r="M15" s="10"/>
      <c r="N15" s="10"/>
      <c r="O15" s="10"/>
      <c r="P15" s="10"/>
    </row>
    <row r="16" spans="1:16" x14ac:dyDescent="0.2">
      <c r="A16" s="8"/>
      <c r="B16" s="43" t="str">
        <f>Wharf2</f>
        <v>Wharf2</v>
      </c>
      <c r="C16" s="43"/>
      <c r="D16" s="43"/>
      <c r="E16" s="43"/>
      <c r="F16" s="43"/>
      <c r="G16" s="43"/>
      <c r="K16" s="10"/>
      <c r="L16" s="10"/>
      <c r="M16" s="10"/>
      <c r="N16" s="10"/>
      <c r="O16" s="10"/>
      <c r="P16" s="10"/>
    </row>
    <row r="17" spans="1:16" x14ac:dyDescent="0.2">
      <c r="A17" s="8"/>
      <c r="B17" s="43" t="str">
        <f>Wharf3</f>
        <v>Wharf3</v>
      </c>
      <c r="C17" s="43"/>
      <c r="D17" s="43"/>
      <c r="E17" s="43"/>
      <c r="F17" s="43"/>
      <c r="G17" s="43"/>
      <c r="K17" s="10"/>
      <c r="L17" s="10"/>
      <c r="M17" s="10"/>
      <c r="N17" s="10"/>
      <c r="O17" s="10"/>
      <c r="P17" s="10"/>
    </row>
    <row r="18" spans="1:16" ht="12" thickBot="1" x14ac:dyDescent="0.25">
      <c r="A18" s="13"/>
      <c r="B18" s="44"/>
      <c r="C18" s="44"/>
      <c r="D18" s="44"/>
      <c r="E18" s="44"/>
      <c r="F18" s="44"/>
      <c r="G18" s="44"/>
      <c r="K18" s="10"/>
      <c r="L18" s="10"/>
      <c r="M18" s="10"/>
      <c r="N18" s="10"/>
      <c r="O18" s="10"/>
      <c r="P18" s="10"/>
    </row>
    <row r="19" spans="1:16" x14ac:dyDescent="0.2">
      <c r="A19" s="41"/>
      <c r="B19" s="41"/>
      <c r="C19" s="41"/>
      <c r="D19" s="41"/>
      <c r="E19" s="41"/>
      <c r="F19" s="41"/>
      <c r="G19" s="41"/>
      <c r="K19" s="10"/>
      <c r="L19" s="10"/>
      <c r="M19" s="10"/>
      <c r="N19" s="10"/>
      <c r="O19" s="10"/>
      <c r="P19" s="10"/>
    </row>
    <row r="20" spans="1:16" x14ac:dyDescent="0.2">
      <c r="A20" s="43"/>
      <c r="B20" s="43"/>
      <c r="C20" s="43"/>
      <c r="D20" s="43"/>
      <c r="E20" s="43"/>
      <c r="F20" s="43"/>
      <c r="G20" s="43"/>
      <c r="K20" s="10"/>
      <c r="L20" s="10"/>
      <c r="M20" s="10"/>
      <c r="N20" s="10"/>
      <c r="O20" s="10"/>
      <c r="P20" s="10"/>
    </row>
    <row r="21" spans="1:16" ht="31.5" customHeight="1" x14ac:dyDescent="0.2">
      <c r="A21" s="45" t="s">
        <v>44</v>
      </c>
      <c r="B21" s="45"/>
      <c r="C21" s="45"/>
      <c r="D21" s="45"/>
      <c r="E21" s="45"/>
      <c r="F21" s="45"/>
      <c r="G21" s="45"/>
      <c r="K21" s="10"/>
      <c r="L21" s="10"/>
      <c r="M21" s="10"/>
      <c r="N21" s="10"/>
      <c r="O21" s="10"/>
      <c r="P21" s="10"/>
    </row>
    <row r="22" spans="1:16" x14ac:dyDescent="0.2">
      <c r="A22" s="8"/>
      <c r="B22" s="8"/>
      <c r="C22" s="8"/>
      <c r="D22" s="19"/>
      <c r="E22" s="8"/>
      <c r="F22" s="8"/>
      <c r="G22" s="8"/>
    </row>
    <row r="23" spans="1:16" x14ac:dyDescent="0.2">
      <c r="A23" s="8"/>
      <c r="B23" s="8"/>
      <c r="C23" s="8"/>
      <c r="D23" s="19"/>
      <c r="E23" s="8"/>
      <c r="F23" s="8"/>
      <c r="G23" s="8"/>
    </row>
    <row r="24" spans="1:16" x14ac:dyDescent="0.2">
      <c r="A24" s="43" t="str">
        <f>"Default finish of the windows: "&amp;ProjectProfileColor</f>
        <v>Default finish of the windows: ProjectProfileColor</v>
      </c>
      <c r="B24" s="43"/>
      <c r="C24" s="43"/>
      <c r="D24" s="43"/>
      <c r="E24" s="43"/>
      <c r="F24" s="43"/>
      <c r="G24" s="43"/>
    </row>
    <row r="25" spans="1:16" x14ac:dyDescent="0.2">
      <c r="A25" s="8"/>
      <c r="B25" s="8"/>
      <c r="C25" s="8"/>
      <c r="D25" s="19"/>
      <c r="E25" s="8"/>
      <c r="F25" s="8"/>
      <c r="G25" s="8"/>
    </row>
    <row r="26" spans="1:16" x14ac:dyDescent="0.2">
      <c r="A26" s="43" t="str">
        <f>"Default glazing: "&amp;DefaultFilling</f>
        <v>Default glazing: DefaultFilling</v>
      </c>
      <c r="B26" s="43"/>
      <c r="C26" s="43"/>
      <c r="D26" s="43"/>
      <c r="E26" s="43"/>
      <c r="F26" s="43"/>
      <c r="G26" s="43"/>
    </row>
    <row r="27" spans="1:16" x14ac:dyDescent="0.2">
      <c r="A27" s="8"/>
      <c r="B27" s="8"/>
      <c r="C27" s="8"/>
      <c r="D27" s="19"/>
      <c r="E27" s="8"/>
      <c r="F27" s="8"/>
      <c r="G27" s="8"/>
    </row>
    <row r="28" spans="1:16" ht="12" thickBot="1" x14ac:dyDescent="0.25">
      <c r="A28" s="44" t="s">
        <v>45</v>
      </c>
      <c r="B28" s="44"/>
      <c r="C28" s="44"/>
      <c r="D28" s="44"/>
      <c r="E28" s="44"/>
      <c r="F28" s="44"/>
      <c r="G28" s="44"/>
    </row>
  </sheetData>
  <mergeCells count="23">
    <mergeCell ref="B16:G16"/>
    <mergeCell ref="B17:G17"/>
    <mergeCell ref="A24:G24"/>
    <mergeCell ref="A26:G26"/>
    <mergeCell ref="A28:G28"/>
    <mergeCell ref="B18:G18"/>
    <mergeCell ref="A19:G19"/>
    <mergeCell ref="A20:G20"/>
    <mergeCell ref="A21:G21"/>
    <mergeCell ref="A10:G10"/>
    <mergeCell ref="B11:G11"/>
    <mergeCell ref="B12:G12"/>
    <mergeCell ref="B13:G13"/>
    <mergeCell ref="B14:G14"/>
    <mergeCell ref="B15:G15"/>
    <mergeCell ref="D5:G5"/>
    <mergeCell ref="D6:G6"/>
    <mergeCell ref="D7:G7"/>
    <mergeCell ref="A8:G8"/>
    <mergeCell ref="D1:G1"/>
    <mergeCell ref="D2:G2"/>
    <mergeCell ref="D3:G3"/>
    <mergeCell ref="D4:G4"/>
  </mergeCells>
  <phoneticPr fontId="1" type="noConversion"/>
  <pageMargins left="0.75" right="0.75" top="1" bottom="1" header="0.5" footer="0.5"/>
  <pageSetup paperSize="9" scale="91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2"/>
  <sheetViews>
    <sheetView workbookViewId="0">
      <selection activeCell="B23" sqref="B23"/>
    </sheetView>
  </sheetViews>
  <sheetFormatPr defaultRowHeight="12.75" x14ac:dyDescent="0.2"/>
  <cols>
    <col min="1" max="1" width="17.5703125" customWidth="1"/>
    <col min="2" max="2" width="18.85546875" style="4" customWidth="1"/>
  </cols>
  <sheetData>
    <row r="1" spans="1:8" x14ac:dyDescent="0.2">
      <c r="A1" s="20" t="s">
        <v>4</v>
      </c>
      <c r="B1" s="20" t="s">
        <v>5</v>
      </c>
    </row>
    <row r="2" spans="1:8" x14ac:dyDescent="0.2">
      <c r="A2" s="21" t="s">
        <v>1</v>
      </c>
      <c r="B2" s="23" t="s">
        <v>1</v>
      </c>
    </row>
    <row r="3" spans="1:8" x14ac:dyDescent="0.2">
      <c r="A3" s="21" t="s">
        <v>9</v>
      </c>
      <c r="B3" s="23" t="s">
        <v>9</v>
      </c>
    </row>
    <row r="4" spans="1:8" x14ac:dyDescent="0.2">
      <c r="A4" s="21" t="s">
        <v>10</v>
      </c>
      <c r="B4" s="23" t="s">
        <v>10</v>
      </c>
    </row>
    <row r="5" spans="1:8" x14ac:dyDescent="0.2">
      <c r="A5" s="21" t="s">
        <v>11</v>
      </c>
      <c r="B5" s="23" t="s">
        <v>11</v>
      </c>
    </row>
    <row r="6" spans="1:8" x14ac:dyDescent="0.2">
      <c r="A6" s="21" t="s">
        <v>6</v>
      </c>
      <c r="B6" s="23" t="s">
        <v>6</v>
      </c>
    </row>
    <row r="7" spans="1:8" x14ac:dyDescent="0.2">
      <c r="A7" s="21" t="s">
        <v>7</v>
      </c>
      <c r="B7" s="23" t="s">
        <v>7</v>
      </c>
    </row>
    <row r="8" spans="1:8" x14ac:dyDescent="0.2">
      <c r="A8" s="21" t="s">
        <v>2</v>
      </c>
      <c r="B8" s="23" t="s">
        <v>2</v>
      </c>
    </row>
    <row r="9" spans="1:8" x14ac:dyDescent="0.2">
      <c r="A9" s="21" t="s">
        <v>3</v>
      </c>
      <c r="B9" s="23" t="s">
        <v>3</v>
      </c>
    </row>
    <row r="10" spans="1:8" x14ac:dyDescent="0.2">
      <c r="A10" s="21" t="s">
        <v>0</v>
      </c>
      <c r="B10" s="23" t="s">
        <v>0</v>
      </c>
    </row>
    <row r="11" spans="1:8" x14ac:dyDescent="0.2">
      <c r="A11" s="21" t="s">
        <v>8</v>
      </c>
      <c r="B11" s="23" t="s">
        <v>8</v>
      </c>
    </row>
    <row r="12" spans="1:8" x14ac:dyDescent="0.2">
      <c r="A12" s="21" t="s">
        <v>12</v>
      </c>
      <c r="B12" s="23" t="s">
        <v>12</v>
      </c>
      <c r="D12" s="3"/>
      <c r="E12" s="3"/>
      <c r="F12" s="3"/>
      <c r="G12" s="3"/>
      <c r="H12" s="1"/>
    </row>
    <row r="13" spans="1:8" x14ac:dyDescent="0.2">
      <c r="A13" s="21" t="s">
        <v>13</v>
      </c>
      <c r="B13" s="23" t="s">
        <v>13</v>
      </c>
      <c r="D13" s="3"/>
      <c r="E13" s="3"/>
      <c r="F13" s="3"/>
      <c r="G13" s="3"/>
      <c r="H13" s="1"/>
    </row>
    <row r="14" spans="1:8" x14ac:dyDescent="0.2">
      <c r="A14" s="21" t="s">
        <v>14</v>
      </c>
      <c r="B14" s="23" t="s">
        <v>14</v>
      </c>
      <c r="D14" s="3"/>
      <c r="E14" s="3"/>
      <c r="F14" s="3"/>
      <c r="G14" s="3"/>
      <c r="H14" s="1"/>
    </row>
    <row r="15" spans="1:8" x14ac:dyDescent="0.2">
      <c r="A15" s="21" t="s">
        <v>15</v>
      </c>
      <c r="B15" s="23" t="s">
        <v>15</v>
      </c>
      <c r="D15" s="2"/>
      <c r="E15" s="2"/>
      <c r="F15" s="2"/>
      <c r="G15" s="2"/>
      <c r="H15" s="1"/>
    </row>
    <row r="16" spans="1:8" x14ac:dyDescent="0.2">
      <c r="A16" s="21" t="s">
        <v>7</v>
      </c>
      <c r="B16" s="23" t="s">
        <v>7</v>
      </c>
      <c r="D16" s="2"/>
      <c r="E16" s="2"/>
      <c r="F16" s="2"/>
      <c r="G16" s="2"/>
      <c r="H16" s="1"/>
    </row>
    <row r="17" spans="1:8" x14ac:dyDescent="0.2">
      <c r="A17" s="21" t="s">
        <v>16</v>
      </c>
      <c r="B17" s="23" t="s">
        <v>16</v>
      </c>
      <c r="D17" s="2"/>
      <c r="E17" s="2"/>
      <c r="F17" s="2"/>
      <c r="G17" s="2"/>
      <c r="H17" s="1"/>
    </row>
    <row r="18" spans="1:8" x14ac:dyDescent="0.2">
      <c r="A18" s="21" t="s">
        <v>17</v>
      </c>
      <c r="B18" s="23" t="s">
        <v>17</v>
      </c>
      <c r="D18" s="2"/>
      <c r="E18" s="2"/>
      <c r="F18" s="2"/>
      <c r="G18" s="2"/>
      <c r="H18" s="1"/>
    </row>
    <row r="19" spans="1:8" x14ac:dyDescent="0.2">
      <c r="A19" s="21" t="s">
        <v>18</v>
      </c>
      <c r="B19" s="23" t="s">
        <v>18</v>
      </c>
      <c r="C19" s="1"/>
      <c r="D19" s="1"/>
      <c r="E19" s="1"/>
      <c r="F19" s="1"/>
      <c r="G19" s="1"/>
      <c r="H19" s="1"/>
    </row>
    <row r="20" spans="1:8" x14ac:dyDescent="0.2">
      <c r="A20" s="21" t="s">
        <v>19</v>
      </c>
      <c r="B20" s="23" t="s">
        <v>19</v>
      </c>
      <c r="C20" s="1"/>
      <c r="D20" s="1"/>
      <c r="E20" s="1"/>
      <c r="F20" s="1"/>
      <c r="G20" s="1"/>
      <c r="H20" s="1"/>
    </row>
    <row r="21" spans="1:8" ht="13.5" thickBot="1" x14ac:dyDescent="0.25">
      <c r="A21" s="22" t="s">
        <v>20</v>
      </c>
      <c r="B21" s="24" t="s">
        <v>20</v>
      </c>
    </row>
    <row r="22" spans="1:8" ht="25.5" x14ac:dyDescent="0.2">
      <c r="A22" s="26" t="s">
        <v>40</v>
      </c>
      <c r="B22" s="27" t="s">
        <v>46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4"/>
  <sheetViews>
    <sheetView tabSelected="1" workbookViewId="0">
      <selection activeCell="D36" sqref="D36"/>
    </sheetView>
  </sheetViews>
  <sheetFormatPr defaultRowHeight="12.75" x14ac:dyDescent="0.2"/>
  <cols>
    <col min="1" max="1" width="20.85546875" bestFit="1" customWidth="1"/>
    <col min="2" max="2" width="30.7109375" customWidth="1"/>
    <col min="4" max="4" width="35.5703125" customWidth="1"/>
    <col min="5" max="5" width="12.140625" customWidth="1"/>
    <col min="7" max="7" width="7.42578125" customWidth="1"/>
    <col min="8" max="9" width="9.140625" hidden="1" customWidth="1"/>
    <col min="10" max="10" width="24.28515625" customWidth="1"/>
  </cols>
  <sheetData>
    <row r="1" spans="1:5" x14ac:dyDescent="0.2">
      <c r="A1" s="46" t="s">
        <v>21</v>
      </c>
      <c r="B1" s="46"/>
      <c r="D1" s="47" t="s">
        <v>22</v>
      </c>
      <c r="E1" s="47"/>
    </row>
    <row r="2" spans="1:5" x14ac:dyDescent="0.2">
      <c r="A2" s="26"/>
      <c r="B2" s="27"/>
      <c r="D2" s="25" t="s">
        <v>41</v>
      </c>
      <c r="E2" s="28"/>
    </row>
    <row r="3" spans="1:5" x14ac:dyDescent="0.2">
      <c r="A3" s="26" t="s">
        <v>23</v>
      </c>
      <c r="B3" s="48" t="s">
        <v>51</v>
      </c>
    </row>
    <row r="4" spans="1:5" x14ac:dyDescent="0.2">
      <c r="A4" s="26" t="s">
        <v>24</v>
      </c>
      <c r="B4" s="27" t="s">
        <v>52</v>
      </c>
      <c r="D4" t="s">
        <v>50</v>
      </c>
    </row>
    <row r="5" spans="1:5" x14ac:dyDescent="0.2">
      <c r="A5" s="26" t="s">
        <v>25</v>
      </c>
      <c r="B5" s="27" t="s">
        <v>53</v>
      </c>
      <c r="D5">
        <f>SUM(E5)</f>
        <v>5</v>
      </c>
      <c r="E5">
        <v>5</v>
      </c>
    </row>
    <row r="6" spans="1:5" x14ac:dyDescent="0.2">
      <c r="A6" s="26" t="s">
        <v>26</v>
      </c>
      <c r="B6" s="48" t="s">
        <v>54</v>
      </c>
    </row>
    <row r="7" spans="1:5" x14ac:dyDescent="0.2">
      <c r="A7" s="26" t="s">
        <v>27</v>
      </c>
      <c r="B7" s="27" t="s">
        <v>47</v>
      </c>
    </row>
    <row r="8" spans="1:5" x14ac:dyDescent="0.2">
      <c r="A8" s="26" t="s">
        <v>28</v>
      </c>
      <c r="B8" s="48" t="s">
        <v>55</v>
      </c>
    </row>
    <row r="9" spans="1:5" x14ac:dyDescent="0.2">
      <c r="A9" s="26" t="s">
        <v>29</v>
      </c>
      <c r="B9" s="27" t="s">
        <v>56</v>
      </c>
    </row>
    <row r="10" spans="1:5" x14ac:dyDescent="0.2">
      <c r="A10" s="26" t="s">
        <v>30</v>
      </c>
      <c r="B10" s="27" t="s">
        <v>48</v>
      </c>
    </row>
    <row r="11" spans="1:5" x14ac:dyDescent="0.2">
      <c r="A11" s="26" t="s">
        <v>31</v>
      </c>
      <c r="B11" s="27" t="s">
        <v>57</v>
      </c>
    </row>
    <row r="12" spans="1:5" ht="38.25" x14ac:dyDescent="0.2">
      <c r="A12" s="26" t="s">
        <v>32</v>
      </c>
      <c r="B12" s="27" t="s">
        <v>58</v>
      </c>
    </row>
    <row r="13" spans="1:5" x14ac:dyDescent="0.2">
      <c r="A13" s="26" t="s">
        <v>34</v>
      </c>
      <c r="B13" s="27" t="s">
        <v>59</v>
      </c>
    </row>
    <row r="14" spans="1:5" ht="24.75" x14ac:dyDescent="0.2">
      <c r="A14" s="26" t="s">
        <v>33</v>
      </c>
      <c r="B14" s="48" t="s">
        <v>60</v>
      </c>
    </row>
    <row r="15" spans="1:5" x14ac:dyDescent="0.2">
      <c r="A15" s="26" t="s">
        <v>35</v>
      </c>
      <c r="B15" s="27" t="s">
        <v>49</v>
      </c>
    </row>
    <row r="16" spans="1:5" x14ac:dyDescent="0.2">
      <c r="A16" s="26" t="s">
        <v>36</v>
      </c>
      <c r="B16" s="27" t="s">
        <v>61</v>
      </c>
    </row>
    <row r="17" spans="1:2" x14ac:dyDescent="0.2">
      <c r="A17" s="26" t="s">
        <v>37</v>
      </c>
      <c r="B17" s="27" t="s">
        <v>62</v>
      </c>
    </row>
    <row r="18" spans="1:2" x14ac:dyDescent="0.2">
      <c r="A18" s="26" t="s">
        <v>38</v>
      </c>
      <c r="B18" s="27" t="s">
        <v>63</v>
      </c>
    </row>
    <row r="19" spans="1:2" x14ac:dyDescent="0.2">
      <c r="A19" s="26"/>
      <c r="B19" s="27" t="s">
        <v>64</v>
      </c>
    </row>
    <row r="20" spans="1:2" x14ac:dyDescent="0.2">
      <c r="A20" s="26"/>
      <c r="B20" s="27" t="s">
        <v>65</v>
      </c>
    </row>
    <row r="21" spans="1:2" x14ac:dyDescent="0.2">
      <c r="A21" s="26"/>
      <c r="B21" s="27" t="s">
        <v>64</v>
      </c>
    </row>
    <row r="22" spans="1:2" x14ac:dyDescent="0.2">
      <c r="A22" s="26" t="s">
        <v>39</v>
      </c>
      <c r="B22" s="27" t="s">
        <v>66</v>
      </c>
    </row>
    <row r="23" spans="1:2" x14ac:dyDescent="0.2">
      <c r="A23" s="26"/>
      <c r="B23" s="27" t="s">
        <v>67</v>
      </c>
    </row>
    <row r="24" spans="1:2" x14ac:dyDescent="0.2">
      <c r="A24" s="26"/>
      <c r="B24" s="27" t="s">
        <v>68</v>
      </c>
    </row>
  </sheetData>
  <mergeCells count="2">
    <mergeCell ref="A1:B1"/>
    <mergeCell ref="D1:E1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49</vt:i4>
      </vt:variant>
    </vt:vector>
  </HeadingPairs>
  <TitlesOfParts>
    <vt:vector size="52" baseType="lpstr">
      <vt:lpstr>Offer</vt:lpstr>
      <vt:lpstr>Data</vt:lpstr>
      <vt:lpstr>Templates</vt:lpstr>
      <vt:lpstr>BEGINROW</vt:lpstr>
      <vt:lpstr>City</vt:lpstr>
      <vt:lpstr>COLOR_TABLEHEAD</vt:lpstr>
      <vt:lpstr>ColumnNames</vt:lpstr>
      <vt:lpstr>CompanyName</vt:lpstr>
      <vt:lpstr>CURRENCYROW</vt:lpstr>
      <vt:lpstr>CustCity</vt:lpstr>
      <vt:lpstr>CustFax</vt:lpstr>
      <vt:lpstr>CustName</vt:lpstr>
      <vt:lpstr>CustStreet</vt:lpstr>
      <vt:lpstr>CustTel</vt:lpstr>
      <vt:lpstr>CustZip</vt:lpstr>
      <vt:lpstr>DefaultFilling</vt:lpstr>
      <vt:lpstr>Email</vt:lpstr>
      <vt:lpstr>Fax</vt:lpstr>
      <vt:lpstr>ProjectProfileColor</vt:lpstr>
      <vt:lpstr>RegNumber</vt:lpstr>
      <vt:lpstr>ReportName</vt:lpstr>
      <vt:lpstr>Street</vt:lpstr>
      <vt:lpstr>Tel</vt:lpstr>
      <vt:lpstr>TelAndFax</vt:lpstr>
      <vt:lpstr>TEMPLATEFORMULA</vt:lpstr>
      <vt:lpstr>TR_ADDCOST</vt:lpstr>
      <vt:lpstr>TR_AGREEMENT</vt:lpstr>
      <vt:lpstr>TR_BUILDER</vt:lpstr>
      <vt:lpstr>TR_DATE</vt:lpstr>
      <vt:lpstr>TR_DISCOUNT</vt:lpstr>
      <vt:lpstr>TR_ENDCLAUSE_1</vt:lpstr>
      <vt:lpstr>TR_ENDCLAUSE_2</vt:lpstr>
      <vt:lpstr>TR_EXTRA</vt:lpstr>
      <vt:lpstr>TR_ON</vt:lpstr>
      <vt:lpstr>TR_OPTIONS_EXCL</vt:lpstr>
      <vt:lpstr>TR_PAYM_COND</vt:lpstr>
      <vt:lpstr>TR_PRICE</vt:lpstr>
      <vt:lpstr>TR_PRICE_ASSEMBLY</vt:lpstr>
      <vt:lpstr>TR_PRICE_EXCL</vt:lpstr>
      <vt:lpstr>TR_PRICE_INC</vt:lpstr>
      <vt:lpstr>TR_PRICE_TOTAL_EXCL</vt:lpstr>
      <vt:lpstr>TR_PRICE_TOTAL_TRANSPORT</vt:lpstr>
      <vt:lpstr>TR_PRICE_TRANSPORT</vt:lpstr>
      <vt:lpstr>TR_Total_Part</vt:lpstr>
      <vt:lpstr>TR_VAT</vt:lpstr>
      <vt:lpstr>TR_VAT_IN</vt:lpstr>
      <vt:lpstr>TR_VAT_TRANSPORT</vt:lpstr>
      <vt:lpstr>VATNumber</vt:lpstr>
      <vt:lpstr>Wharf1</vt:lpstr>
      <vt:lpstr>Wharf2</vt:lpstr>
      <vt:lpstr>Wharf3</vt:lpstr>
      <vt:lpstr>Zip</vt:lpstr>
    </vt:vector>
  </TitlesOfParts>
  <Company>TECHWIN SOFTWARE BVBA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2006-02-07T12:19:56Z</dcterms:created>
  <dcterms:modified xsi:type="dcterms:W3CDTF">2014-10-12T03:11:45Z</dcterms:modified>
</cp:coreProperties>
</file>